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a932c87543c4739/Documents/ENTRI/Excel/"/>
    </mc:Choice>
  </mc:AlternateContent>
  <xr:revisionPtr revIDLastSave="545" documentId="11_3C784BE47D5BC9D6C729A121CD02E8CB7FE6236B" xr6:coauthVersionLast="47" xr6:coauthVersionMax="47" xr10:uidLastSave="{300394D8-3FBC-4AC7-866D-538036BC21E9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I2" i="2" l="1"/>
  <c r="G2" i="2" l="1"/>
  <c r="L6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P6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L3" i="2" l="1"/>
  <c r="L4" i="2"/>
  <c r="L5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2" i="2" l="1"/>
</calcChain>
</file>

<file path=xl/sharedStrings.xml><?xml version="1.0" encoding="utf-8"?>
<sst xmlns="http://schemas.openxmlformats.org/spreadsheetml/2006/main" count="220" uniqueCount="170">
  <si>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</si>
  <si>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</si>
  <si>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</si>
  <si>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</si>
  <si>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</si>
  <si>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</si>
  <si>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</si>
  <si>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</si>
  <si>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</si>
  <si>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</si>
  <si>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</si>
  <si>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</si>
  <si>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</si>
  <si>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</si>
  <si>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</si>
  <si>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</si>
  <si>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</si>
  <si>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</si>
  <si>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</si>
  <si>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</si>
  <si>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</si>
  <si>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</si>
  <si>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</si>
  <si>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</si>
  <si>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</si>
  <si>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</si>
  <si>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</si>
  <si>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</si>
  <si>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</si>
  <si>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</si>
  <si>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</si>
  <si>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</si>
  <si>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</si>
  <si>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</si>
  <si>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</si>
  <si>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</si>
  <si>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</si>
  <si>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</si>
  <si>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</si>
  <si>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</si>
  <si>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</si>
  <si>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</si>
  <si>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</si>
  <si>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</si>
  <si>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</si>
  <si>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</si>
  <si>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</si>
  <si>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</si>
  <si>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</si>
  <si>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</si>
  <si>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</si>
  <si>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</si>
  <si>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</si>
  <si>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</si>
  <si>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</si>
  <si>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</si>
  <si>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</si>
  <si>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</si>
  <si>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</si>
  <si>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</si>
  <si>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</si>
  <si>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</si>
  <si>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</si>
  <si>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</si>
  <si>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</si>
  <si>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</si>
  <si>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</si>
  <si>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</si>
  <si>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</si>
  <si>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</si>
  <si>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</si>
  <si>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</si>
  <si>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</si>
  <si>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</si>
  <si>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</si>
  <si>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</si>
  <si>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</si>
  <si>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</si>
  <si>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</si>
  <si>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</si>
  <si>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</si>
  <si>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</si>
  <si>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</si>
  <si>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</si>
  <si>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</si>
  <si>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</si>
  <si>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</si>
  <si>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</si>
  <si>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</si>
  <si>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</si>
  <si>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</si>
  <si>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</si>
  <si>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</si>
  <si>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</si>
  <si>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</si>
  <si>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</si>
  <si>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</si>
  <si>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</si>
  <si>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</si>
  <si>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</si>
  <si>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</si>
  <si>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</si>
  <si>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</si>
  <si>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</si>
  <si>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</si>
  <si>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</si>
  <si>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</si>
  <si>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</si>
  <si>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</si>
  <si>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</si>
  <si>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</si>
  <si>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COUNTBLANK:</t>
  </si>
  <si>
    <t>Price Replace</t>
  </si>
  <si>
    <t>PRICE:</t>
  </si>
  <si>
    <t>CATEGORY:</t>
  </si>
  <si>
    <t>Category Replace</t>
  </si>
  <si>
    <t>PRODUCT NAME:</t>
  </si>
  <si>
    <t>Create a new column and mark missing data as "UNKNOWN".</t>
  </si>
  <si>
    <t>Counted missing values in the Price column, created a new column in the table,</t>
  </si>
  <si>
    <t>FIND&amp;REPLACE:</t>
  </si>
  <si>
    <r>
      <t xml:space="preserve">By using the </t>
    </r>
    <r>
      <rPr>
        <sz val="10"/>
        <color rgb="FFFF0000"/>
        <rFont val="Arial"/>
        <family val="2"/>
        <scheme val="minor"/>
      </rPr>
      <t>Filter function</t>
    </r>
    <r>
      <rPr>
        <sz val="10"/>
        <color rgb="FF000000"/>
        <rFont val="Arial"/>
        <family val="2"/>
        <scheme val="minor"/>
      </rPr>
      <t xml:space="preserve"> on the Category column to review unique values, </t>
    </r>
  </si>
  <si>
    <t>DUPLICATE:</t>
  </si>
  <si>
    <t>I identified a typo where the term 'Electronics' was misspelled as 'Electroni'.</t>
  </si>
  <si>
    <t>and imputed them with the average price in that new column.</t>
  </si>
  <si>
    <t>By confirming that the data has headers, the tool accurately cleared all duplicate rows, ensuring data accuracy.</t>
  </si>
  <si>
    <t>for consistent and accurate data organization.</t>
  </si>
  <si>
    <t>Manufacturing Date</t>
  </si>
  <si>
    <t>Country Code</t>
  </si>
  <si>
    <t>Product Brand</t>
  </si>
  <si>
    <t>SPLITTING: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</si>
  <si>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</si>
  <si>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</si>
  <si>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</si>
  <si>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</si>
  <si>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</si>
  <si>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</si>
  <si>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</si>
  <si>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</si>
  <si>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</si>
  <si>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</si>
  <si>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</si>
  <si>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</si>
  <si>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 xml:space="preserve">where I manually arranged the field breaks to separate the date and month into </t>
  </si>
  <si>
    <t>feature to clean up any unnecessary characters.</t>
  </si>
  <si>
    <r>
      <t xml:space="preserve">one column and the country code into another. After that, I applied the </t>
    </r>
    <r>
      <rPr>
        <sz val="10"/>
        <color rgb="FFFF0000"/>
        <rFont val="Arial"/>
        <family val="2"/>
        <scheme val="minor"/>
      </rPr>
      <t>'Flash Fill'</t>
    </r>
  </si>
  <si>
    <r>
      <t>I used the</t>
    </r>
    <r>
      <rPr>
        <sz val="10"/>
        <color rgb="FFFF0000"/>
        <rFont val="Arial"/>
        <family val="2"/>
        <scheme val="minor"/>
      </rPr>
      <t xml:space="preserve"> 'Text to Columns'</t>
    </r>
    <r>
      <rPr>
        <sz val="10"/>
        <color rgb="FF000000"/>
        <rFont val="Arial"/>
        <family val="2"/>
        <scheme val="minor"/>
      </rPr>
      <t xml:space="preserve"> wizard and selected the</t>
    </r>
    <r>
      <rPr>
        <sz val="10"/>
        <color rgb="FFFF0000"/>
        <rFont val="Arial"/>
        <family val="2"/>
        <scheme val="minor"/>
      </rPr>
      <t xml:space="preserve"> 'Fixed Width' </t>
    </r>
    <r>
      <rPr>
        <sz val="10"/>
        <color rgb="FF000000"/>
        <rFont val="Arial"/>
        <family val="2"/>
        <scheme val="minor"/>
      </rPr>
      <t xml:space="preserve">option, </t>
    </r>
  </si>
  <si>
    <r>
      <t>I removed duplicate entries from the entire dataset using the</t>
    </r>
    <r>
      <rPr>
        <sz val="10"/>
        <color rgb="FFFF0000"/>
        <rFont val="Arial"/>
        <family val="2"/>
        <scheme val="minor"/>
      </rPr>
      <t xml:space="preserve"> 'Remove Duplicates' </t>
    </r>
    <r>
      <rPr>
        <sz val="10"/>
        <color rgb="FF000000"/>
        <rFont val="Arial"/>
        <family val="2"/>
        <scheme val="minor"/>
      </rPr>
      <t>feature in the Data tab.</t>
    </r>
  </si>
  <si>
    <t>MERGING:</t>
  </si>
  <si>
    <t xml:space="preserve"> to merge the 'Brand Name' and 'Product Name' columns into it.</t>
  </si>
  <si>
    <r>
      <t xml:space="preserve">I created a new column named 'Product Brand' and used the </t>
    </r>
    <r>
      <rPr>
        <sz val="10"/>
        <color rgb="FFFF0000"/>
        <rFont val="Arial"/>
        <family val="2"/>
        <scheme val="minor"/>
      </rPr>
      <t>'CONCATENATE' function</t>
    </r>
  </si>
  <si>
    <t>CURRENCY:</t>
  </si>
  <si>
    <t>I formatted the values in the new price column to currency format using the Number group on the Home tab.</t>
  </si>
  <si>
    <t>DATE FORMAT:</t>
  </si>
  <si>
    <t xml:space="preserve"> preset found in the 'Number' group on the Home tab.</t>
  </si>
  <si>
    <r>
      <t>I formatted the manufacturing date column to the 'DD-MM-YYYY' format by using the</t>
    </r>
    <r>
      <rPr>
        <sz val="10"/>
        <color rgb="FFFF0000"/>
        <rFont val="Arial"/>
        <family val="2"/>
        <scheme val="minor"/>
      </rPr>
      <t xml:space="preserve"> 'Short Date'</t>
    </r>
  </si>
  <si>
    <t>CONDITIONAL FORMAT:</t>
  </si>
  <si>
    <t>I applied conditional formatting to the Price column using the Gradient Fill in the data bar.</t>
  </si>
  <si>
    <t>CUSTOM RULE:</t>
  </si>
  <si>
    <t>​I selected the 'Category' column and opened the 'Conditional Formatting' menu from the Home tab.</t>
  </si>
  <si>
    <t>containing the word "electronics". Finally, I clicked the 'Format' button to select the highlight style.</t>
  </si>
  <si>
    <t xml:space="preserve">I then created a new rule by choosing "Format only cells that contain" and set the condition to 'Specific Text' </t>
  </si>
  <si>
    <t>TYPOS IN CATEGORY:</t>
  </si>
  <si>
    <t>laptop</t>
  </si>
  <si>
    <t>smartwatch</t>
  </si>
  <si>
    <t>headphones</t>
  </si>
  <si>
    <t>Product Name Replace</t>
  </si>
  <si>
    <t>column by capitalizing the first letter of each word.</t>
  </si>
  <si>
    <r>
      <t xml:space="preserve">I used the </t>
    </r>
    <r>
      <rPr>
        <sz val="10"/>
        <color rgb="FFFF0000"/>
        <rFont val="Arial"/>
        <family val="2"/>
        <scheme val="minor"/>
      </rPr>
      <t>PROPER function</t>
    </r>
    <r>
      <rPr>
        <sz val="10"/>
        <color rgb="FF000000"/>
        <rFont val="Arial"/>
        <family val="2"/>
        <scheme val="minor"/>
      </rPr>
      <t xml:space="preserve"> to fix inconsistencies in the Product Name </t>
    </r>
  </si>
  <si>
    <t/>
  </si>
  <si>
    <r>
      <t xml:space="preserve">I applied </t>
    </r>
    <r>
      <rPr>
        <sz val="10"/>
        <color rgb="FFFF0000"/>
        <rFont val="Arial"/>
        <family val="2"/>
        <scheme val="minor"/>
      </rPr>
      <t xml:space="preserve">Find and Replace </t>
    </r>
    <r>
      <rPr>
        <sz val="10"/>
        <color theme="1"/>
        <rFont val="Arial"/>
        <family val="2"/>
        <scheme val="minor"/>
      </rPr>
      <t xml:space="preserve">to corrected the category column by changing 'Electroni' to 'Electronics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</si>
</sst>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3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1" fillId="3" borderId="0" xfId="0" applyFont="1" applyFill="1"/>
    <xf numFmtId="0" fontId="9" fillId="4" borderId="0" xfId="0" applyFont="1" applyFill="1"/>
    <xf numFmtId="0" fontId="0" fillId="4" borderId="0" xfId="0" applyFill="1"/>
    <xf numFmtId="164" fontId="5" fillId="0" borderId="0" xfId="0" applyNumberFormat="1" applyFont="1"/>
    <xf numFmtId="164" fontId="7" fillId="2" borderId="0" xfId="0" applyNumberFormat="1" applyFont="1" applyFill="1" applyAlignment="1">
      <alignment horizontal="center"/>
    </xf>
    <xf numFmtId="164" fontId="5" fillId="3" borderId="0" xfId="0" applyNumberFormat="1" applyFont="1" applyFill="1"/>
    <xf numFmtId="164" fontId="11" fillId="3" borderId="0" xfId="0" applyNumberFormat="1" applyFont="1" applyFill="1"/>
    <xf numFmtId="164" fontId="11" fillId="0" borderId="0" xfId="0" applyNumberFormat="1" applyFont="1"/>
    <xf numFmtId="14" fontId="5" fillId="0" borderId="0" xfId="0" applyNumberFormat="1" applyFont="1"/>
    <xf numFmtId="14" fontId="5" fillId="3" borderId="0" xfId="0" applyNumberFormat="1" applyFont="1" applyFill="1"/>
    <xf numFmtId="0" fontId="8" fillId="0" borderId="0" xfId="0" quotePrefix="1" applyFont="1"/>
  </cellXfs>
  <cellStyles count="1">
    <cellStyle name="Normal" xfId="0" builtinId="0"/>
  </cellStyles>
  <dxfs count="18">
    <dxf>
      <fill>
        <patternFill>
          <bgColor theme="5"/>
        </patternFill>
      </fill>
    </dxf>
    <dxf>
      <fill>
        <patternFill>
          <bgColor rgb="FFFE5E6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&quot;₹&quot;\ #,##0.00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E5E62"/>
      <color rgb="FFF8A6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61DDB7-4C0D-415D-AF30-19A06E3DAC53}" name="Table1" displayName="Table1" ref="A1:L32" totalsRowShown="0" headerRowDxfId="17" dataDxfId="16">
  <autoFilter ref="A1:L32" xr:uid="{FF61DDB7-4C0D-415D-AF30-19A06E3DAC53}"/>
  <tableColumns count="12">
    <tableColumn id="1" xr3:uid="{A32FEA48-A85D-420F-8200-8027084CF2F7}" name="Product ID" dataDxfId="15"/>
    <tableColumn id="3" xr3:uid="{986DD8BC-A342-4E57-89D9-65C9768D4B96}" name="Manufacturing Date" dataDxfId="14"/>
    <tableColumn id="10" xr3:uid="{372B0B94-ECF9-4748-86B2-D028386EEDD9}" name="Country Code" dataDxfId="13"/>
    <tableColumn id="2" xr3:uid="{85F0D233-72D2-4155-993E-C8470E9640D8}" name="Product Name" dataDxfId="12"/>
    <tableColumn id="12" xr3:uid="{E4D71FCA-4291-406E-B4B8-931A53FE042E}" name="Product Name Replace" dataDxfId="11">
      <calculatedColumnFormula>PROPER(Table1[[#This Row],[Product Name]])</calculatedColumnFormula>
    </tableColumn>
    <tableColumn id="4" xr3:uid="{AC9BCBFD-0780-40D1-9DAC-DBAEE3902C15}" name="Brand Name" dataDxfId="10"/>
    <tableColumn id="11" xr3:uid="{D1126EE5-B6B2-472A-92DD-D5100C8EA18F}" name="Product Brand" dataDxfId="9">
      <calculatedColumnFormula>CONCATENATE(Table1[[#This Row],[Product Name]]," ",Table1[[#This Row],[Brand Name]])</calculatedColumnFormula>
    </tableColumn>
    <tableColumn id="5" xr3:uid="{2D1A5A27-4ADD-4F74-B955-8955E668FF6F}" name="Price ($)" dataDxfId="8"/>
    <tableColumn id="6" xr3:uid="{F8717716-DF59-4B42-AB16-EEA6F311DF39}" name="Price Replace" dataDxfId="7">
      <calculatedColumnFormula>IF(ISBLANK(Table1[[#This Row],[Price ($)]]),AVERAGE(Table1[Price ($)]),Table1[[#This Row],[Price ($)]])</calculatedColumnFormula>
    </tableColumn>
    <tableColumn id="7" xr3:uid="{B2FCF3FF-5D15-4DFF-92FC-624459160B85}" name="Quantity" dataDxfId="6"/>
    <tableColumn id="8" xr3:uid="{36E537BB-F80C-4F61-B8B1-D8661E3CE163}" name="Category" dataDxfId="5"/>
    <tableColumn id="9" xr3:uid="{FB1EF3C2-59AF-421E-BF57-21D035B15CBD}" name="Category Replace" dataDxfId="4">
      <calculatedColumnFormula>IF(ISBLANK(K2),"UnKnown",K2)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zoomScale="92" workbookViewId="0">
      <selection activeCell="C8" sqref="C8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1000"/>
  <sheetViews>
    <sheetView tabSelected="1" zoomScale="71" workbookViewId="0">
      <selection activeCell="M16" sqref="M16"/>
    </sheetView>
  </sheetViews>
  <sheetFormatPr defaultColWidth="12.6640625" defaultRowHeight="15" customHeight="1" x14ac:dyDescent="0.25"/>
  <cols>
    <col min="1" max="1" width="16.5546875" bestFit="1" customWidth="1"/>
    <col min="2" max="2" width="24.88671875" bestFit="1" customWidth="1"/>
    <col min="3" max="3" width="19.21875" bestFit="1" customWidth="1"/>
    <col min="4" max="4" width="20" bestFit="1" customWidth="1"/>
    <col min="5" max="5" width="28" bestFit="1" customWidth="1"/>
    <col min="6" max="6" width="18.21875" bestFit="1" customWidth="1"/>
    <col min="7" max="7" width="22.77734375" bestFit="1" customWidth="1"/>
    <col min="8" max="8" width="14.77734375" bestFit="1" customWidth="1"/>
    <col min="9" max="9" width="19.6640625" bestFit="1" customWidth="1"/>
    <col min="10" max="10" width="14.6640625" bestFit="1" customWidth="1"/>
    <col min="11" max="11" width="15.33203125" bestFit="1" customWidth="1"/>
    <col min="12" max="12" width="23.109375" bestFit="1" customWidth="1"/>
    <col min="13" max="14" width="22.77734375" bestFit="1" customWidth="1"/>
    <col min="15" max="15" width="14.77734375" customWidth="1"/>
  </cols>
  <sheetData>
    <row r="1" spans="1:22" ht="15.75" customHeight="1" x14ac:dyDescent="0.25">
      <c r="A1" s="7" t="s">
        <v>19</v>
      </c>
      <c r="B1" s="7" t="s">
        <v>126</v>
      </c>
      <c r="C1" s="7" t="s">
        <v>127</v>
      </c>
      <c r="D1" s="7" t="s">
        <v>20</v>
      </c>
      <c r="E1" s="7" t="s">
        <v>165</v>
      </c>
      <c r="F1" s="7" t="s">
        <v>21</v>
      </c>
      <c r="G1" s="7" t="s">
        <v>128</v>
      </c>
      <c r="H1" s="7" t="s">
        <v>22</v>
      </c>
      <c r="I1" s="16" t="s">
        <v>112</v>
      </c>
      <c r="J1" s="7" t="s">
        <v>23</v>
      </c>
      <c r="K1" s="7" t="s">
        <v>24</v>
      </c>
      <c r="L1" s="7" t="s">
        <v>115</v>
      </c>
    </row>
    <row r="2" spans="1:22" ht="15.75" customHeight="1" x14ac:dyDescent="0.25">
      <c r="A2" s="5" t="s">
        <v>25</v>
      </c>
      <c r="B2" s="20">
        <v>46050</v>
      </c>
      <c r="C2" s="5" t="s">
        <v>130</v>
      </c>
      <c r="D2" s="5" t="s">
        <v>162</v>
      </c>
      <c r="E2" s="5" t="str">
        <f>PROPER(Table1[[#This Row],[Product Name]])</f>
        <v>Laptop</v>
      </c>
      <c r="F2" s="5" t="s">
        <v>26</v>
      </c>
      <c r="G2" s="5" t="str">
        <f>CONCATENATE(Table1[[#This Row],[Product Name]]," ",Table1[[#This Row],[Brand Name]])</f>
        <v>laptop Dell</v>
      </c>
      <c r="H2" s="5">
        <v>1000</v>
      </c>
      <c r="I2" s="15">
        <f>IF(ISBLANK(Table1[[#This Row],[Price ($)]]),AVERAGE(Table1[Price ($)]),Table1[[#This Row],[Price ($)]])</f>
        <v>1000</v>
      </c>
      <c r="J2" s="5">
        <v>30</v>
      </c>
      <c r="K2" s="5" t="s">
        <v>27</v>
      </c>
      <c r="L2" s="5" t="str">
        <f t="shared" ref="L2:L32" si="0">IF(ISBLANK(K2),"UnKnown",K2)</f>
        <v>Electronics</v>
      </c>
    </row>
    <row r="3" spans="1:22" ht="15.75" customHeight="1" x14ac:dyDescent="0.3">
      <c r="A3" s="8" t="s">
        <v>28</v>
      </c>
      <c r="B3" s="21">
        <v>46068</v>
      </c>
      <c r="C3" s="8" t="s">
        <v>130</v>
      </c>
      <c r="D3" s="8" t="s">
        <v>29</v>
      </c>
      <c r="E3" s="8" t="str">
        <f>PROPER(Table1[[#This Row],[Product Name]])</f>
        <v>Sneakers</v>
      </c>
      <c r="F3" s="8" t="s">
        <v>30</v>
      </c>
      <c r="G3" s="8" t="str">
        <f>CONCATENATE(Table1[[#This Row],[Product Name]]," ",Table1[[#This Row],[Brand Name]])</f>
        <v>Sneakers Nike</v>
      </c>
      <c r="H3" s="8">
        <v>80</v>
      </c>
      <c r="I3" s="17">
        <f>IF(ISBLANK(Table1[[#This Row],[Price ($)]]),AVERAGE(Table1[Price ($)]),Table1[[#This Row],[Price ($)]])</f>
        <v>80</v>
      </c>
      <c r="J3" s="8">
        <v>15</v>
      </c>
      <c r="K3" s="8" t="s">
        <v>31</v>
      </c>
      <c r="L3" s="8" t="str">
        <f t="shared" si="0"/>
        <v>Fashion</v>
      </c>
      <c r="O3" s="14">
        <v>1</v>
      </c>
      <c r="P3" s="5"/>
      <c r="Q3" s="3"/>
      <c r="R3" s="5"/>
      <c r="S3" s="5"/>
      <c r="T3" s="5"/>
      <c r="U3" s="5"/>
      <c r="V3" s="5"/>
    </row>
    <row r="4" spans="1:22" ht="15.75" customHeight="1" x14ac:dyDescent="0.3">
      <c r="A4" s="5" t="s">
        <v>32</v>
      </c>
      <c r="B4" s="20">
        <v>46086</v>
      </c>
      <c r="C4" s="5" t="s">
        <v>130</v>
      </c>
      <c r="D4" s="5" t="s">
        <v>33</v>
      </c>
      <c r="E4" s="5" t="str">
        <f>PROPER(Table1[[#This Row],[Product Name]])</f>
        <v>Coffee Maker</v>
      </c>
      <c r="F4" s="5" t="s">
        <v>34</v>
      </c>
      <c r="G4" s="5" t="str">
        <f>CONCATENATE(Table1[[#This Row],[Product Name]]," ",Table1[[#This Row],[Brand Name]])</f>
        <v>Coffee Maker Keurig</v>
      </c>
      <c r="H4" s="5">
        <v>130</v>
      </c>
      <c r="I4" s="15">
        <f>IF(ISBLANK(Table1[[#This Row],[Price ($)]]),AVERAGE(Table1[Price ($)]),Table1[[#This Row],[Price ($)]])</f>
        <v>130</v>
      </c>
      <c r="J4" s="5">
        <v>40</v>
      </c>
      <c r="K4" s="5" t="s">
        <v>35</v>
      </c>
      <c r="L4" s="5" t="str">
        <f t="shared" si="0"/>
        <v>Kitchen</v>
      </c>
      <c r="N4" s="13" t="s">
        <v>113</v>
      </c>
      <c r="O4" s="9" t="s">
        <v>118</v>
      </c>
      <c r="P4" s="5"/>
      <c r="Q4" s="3"/>
      <c r="R4" s="5"/>
      <c r="S4" s="5"/>
      <c r="T4" s="5"/>
      <c r="U4" s="5"/>
      <c r="V4" s="5"/>
    </row>
    <row r="5" spans="1:22" ht="15.75" customHeight="1" x14ac:dyDescent="0.25">
      <c r="A5" s="8" t="s">
        <v>36</v>
      </c>
      <c r="B5" s="21">
        <v>46104</v>
      </c>
      <c r="C5" s="8" t="s">
        <v>130</v>
      </c>
      <c r="D5" s="8" t="s">
        <v>163</v>
      </c>
      <c r="E5" s="8" t="str">
        <f>PROPER(Table1[[#This Row],[Product Name]])</f>
        <v>Smartwatch</v>
      </c>
      <c r="F5" s="8" t="s">
        <v>37</v>
      </c>
      <c r="G5" s="8" t="str">
        <f>CONCATENATE(Table1[[#This Row],[Product Name]]," ",Table1[[#This Row],[Brand Name]])</f>
        <v>smartwatch Samsung</v>
      </c>
      <c r="H5" s="8">
        <v>900</v>
      </c>
      <c r="I5" s="17">
        <f>IF(ISBLANK(Table1[[#This Row],[Price ($)]]),AVERAGE(Table1[Price ($)]),Table1[[#This Row],[Price ($)]])</f>
        <v>900</v>
      </c>
      <c r="J5" s="8">
        <v>25</v>
      </c>
      <c r="K5" s="8" t="s">
        <v>27</v>
      </c>
      <c r="L5" s="8" t="str">
        <f t="shared" si="0"/>
        <v>Electronics</v>
      </c>
      <c r="O5" s="9" t="s">
        <v>123</v>
      </c>
      <c r="V5" s="5"/>
    </row>
    <row r="6" spans="1:22" ht="15.75" customHeight="1" x14ac:dyDescent="0.25">
      <c r="A6" s="5" t="s">
        <v>38</v>
      </c>
      <c r="B6" s="20">
        <v>46122</v>
      </c>
      <c r="C6" s="5" t="s">
        <v>130</v>
      </c>
      <c r="D6" s="5" t="s">
        <v>39</v>
      </c>
      <c r="E6" s="5" t="str">
        <f>PROPER(Table1[[#This Row],[Product Name]])</f>
        <v>Backpack</v>
      </c>
      <c r="F6" s="5" t="s">
        <v>40</v>
      </c>
      <c r="G6" s="5" t="str">
        <f>CONCATENATE(Table1[[#This Row],[Product Name]]," ",Table1[[#This Row],[Brand Name]])</f>
        <v>Backpack North Face</v>
      </c>
      <c r="H6" s="5">
        <v>70</v>
      </c>
      <c r="I6" s="15">
        <f>IF(ISBLANK(Table1[[#This Row],[Price ($)]]),AVERAGE(Table1[Price ($)]),Table1[[#This Row],[Price ($)]])</f>
        <v>70</v>
      </c>
      <c r="J6" s="5">
        <v>20</v>
      </c>
      <c r="K6" s="5"/>
      <c r="L6" s="11" t="str">
        <f>IF(ISBLANK(K6),"UnKnown",K6)</f>
        <v>UnKnown</v>
      </c>
      <c r="O6" s="10" t="s">
        <v>111</v>
      </c>
      <c r="P6" s="10">
        <f>COUNTBLANK(H2:H32)</f>
        <v>3</v>
      </c>
    </row>
    <row r="7" spans="1:22" ht="15.75" customHeight="1" x14ac:dyDescent="0.25">
      <c r="A7" s="8" t="s">
        <v>41</v>
      </c>
      <c r="B7" s="21">
        <v>46140</v>
      </c>
      <c r="C7" s="8" t="s">
        <v>131</v>
      </c>
      <c r="D7" s="8" t="s">
        <v>42</v>
      </c>
      <c r="E7" s="8" t="str">
        <f>PROPER(Table1[[#This Row],[Product Name]])</f>
        <v>Headphones</v>
      </c>
      <c r="F7" s="8" t="s">
        <v>43</v>
      </c>
      <c r="G7" s="8" t="str">
        <f>CONCATENATE(Table1[[#This Row],[Product Name]]," ",Table1[[#This Row],[Brand Name]])</f>
        <v>Headphones Sony</v>
      </c>
      <c r="H7" s="8"/>
      <c r="I7" s="18">
        <f>IF(ISBLANK(Table1[[#This Row],[Price ($)]]),AVERAGE(Table1[Price ($)]),Table1[[#This Row],[Price ($)]])</f>
        <v>297.85714285714283</v>
      </c>
      <c r="J7" s="8">
        <v>45</v>
      </c>
      <c r="K7" s="8" t="s">
        <v>27</v>
      </c>
      <c r="L7" s="8" t="str">
        <f t="shared" si="0"/>
        <v>Electronics</v>
      </c>
    </row>
    <row r="8" spans="1:22" ht="15.75" customHeight="1" x14ac:dyDescent="0.25">
      <c r="A8" s="5" t="s">
        <v>44</v>
      </c>
      <c r="B8" s="20">
        <v>46158</v>
      </c>
      <c r="C8" s="5" t="s">
        <v>131</v>
      </c>
      <c r="D8" s="5" t="s">
        <v>45</v>
      </c>
      <c r="E8" s="5" t="str">
        <f>PROPER(Table1[[#This Row],[Product Name]])</f>
        <v>T-Shirt</v>
      </c>
      <c r="F8" s="5" t="s">
        <v>46</v>
      </c>
      <c r="G8" s="5" t="str">
        <f>CONCATENATE(Table1[[#This Row],[Product Name]]," ",Table1[[#This Row],[Brand Name]])</f>
        <v>T-shirt Adidas</v>
      </c>
      <c r="H8" s="5">
        <v>30</v>
      </c>
      <c r="I8" s="15">
        <f>IF(ISBLANK(Table1[[#This Row],[Price ($)]]),AVERAGE(Table1[Price ($)]),Table1[[#This Row],[Price ($)]])</f>
        <v>30</v>
      </c>
      <c r="J8" s="5">
        <v>5</v>
      </c>
      <c r="K8" s="5" t="s">
        <v>31</v>
      </c>
      <c r="L8" s="5" t="str">
        <f t="shared" si="0"/>
        <v>Fashion</v>
      </c>
      <c r="N8" s="13" t="s">
        <v>114</v>
      </c>
      <c r="O8" s="9" t="s">
        <v>117</v>
      </c>
    </row>
    <row r="9" spans="1:22" ht="15.75" customHeight="1" x14ac:dyDescent="0.25">
      <c r="A9" s="8" t="s">
        <v>47</v>
      </c>
      <c r="B9" s="21">
        <v>46176</v>
      </c>
      <c r="C9" s="8" t="s">
        <v>131</v>
      </c>
      <c r="D9" s="8" t="s">
        <v>48</v>
      </c>
      <c r="E9" s="8" t="str">
        <f>PROPER(Table1[[#This Row],[Product Name]])</f>
        <v>Blender</v>
      </c>
      <c r="F9" s="8" t="s">
        <v>49</v>
      </c>
      <c r="G9" s="8" t="str">
        <f>CONCATENATE(Table1[[#This Row],[Product Name]]," ",Table1[[#This Row],[Brand Name]])</f>
        <v>Blender Ninja</v>
      </c>
      <c r="H9" s="8">
        <v>90</v>
      </c>
      <c r="I9" s="17">
        <f>IF(ISBLANK(Table1[[#This Row],[Price ($)]]),AVERAGE(Table1[Price ($)]),Table1[[#This Row],[Price ($)]])</f>
        <v>90</v>
      </c>
      <c r="J9" s="8">
        <v>35</v>
      </c>
      <c r="K9" s="8" t="s">
        <v>35</v>
      </c>
      <c r="L9" s="8" t="str">
        <f t="shared" si="0"/>
        <v>Kitchen</v>
      </c>
    </row>
    <row r="10" spans="1:22" ht="15.75" customHeight="1" x14ac:dyDescent="0.25">
      <c r="A10" s="5" t="s">
        <v>50</v>
      </c>
      <c r="B10" s="20">
        <v>46194</v>
      </c>
      <c r="C10" s="5" t="s">
        <v>131</v>
      </c>
      <c r="D10" s="5" t="s">
        <v>51</v>
      </c>
      <c r="E10" s="5" t="str">
        <f>PROPER(Table1[[#This Row],[Product Name]])</f>
        <v>Tablet</v>
      </c>
      <c r="F10" s="5" t="s">
        <v>52</v>
      </c>
      <c r="G10" s="5" t="str">
        <f>CONCATENATE(Table1[[#This Row],[Product Name]]," ",Table1[[#This Row],[Brand Name]])</f>
        <v>Tablet Apple</v>
      </c>
      <c r="H10" s="5">
        <v>500</v>
      </c>
      <c r="I10" s="15">
        <f>IF(ISBLANK(Table1[[#This Row],[Price ($)]]),AVERAGE(Table1[Price ($)]),Table1[[#This Row],[Price ($)]])</f>
        <v>500</v>
      </c>
      <c r="J10" s="5">
        <v>50</v>
      </c>
      <c r="K10" s="5" t="s">
        <v>27</v>
      </c>
      <c r="L10" s="5" t="str">
        <f t="shared" si="0"/>
        <v>Electronics</v>
      </c>
      <c r="O10" s="14">
        <v>2</v>
      </c>
    </row>
    <row r="11" spans="1:22" ht="15.75" customHeight="1" x14ac:dyDescent="0.25">
      <c r="A11" s="8" t="s">
        <v>53</v>
      </c>
      <c r="B11" s="21">
        <v>46212</v>
      </c>
      <c r="C11" s="8" t="s">
        <v>131</v>
      </c>
      <c r="D11" s="8" t="s">
        <v>54</v>
      </c>
      <c r="E11" s="8" t="str">
        <f>PROPER(Table1[[#This Row],[Product Name]])</f>
        <v>Hiking Boots</v>
      </c>
      <c r="F11" s="8" t="s">
        <v>55</v>
      </c>
      <c r="G11" s="8" t="str">
        <f>CONCATENATE(Table1[[#This Row],[Product Name]]," ",Table1[[#This Row],[Brand Name]])</f>
        <v>Hiking Boots Timberland</v>
      </c>
      <c r="H11" s="8">
        <v>130</v>
      </c>
      <c r="I11" s="17">
        <f>IF(ISBLANK(Table1[[#This Row],[Price ($)]]),AVERAGE(Table1[Price ($)]),Table1[[#This Row],[Price ($)]])</f>
        <v>130</v>
      </c>
      <c r="J11" s="8">
        <v>10</v>
      </c>
      <c r="K11" s="8" t="s">
        <v>56</v>
      </c>
      <c r="L11" s="8" t="str">
        <f t="shared" si="0"/>
        <v>Outdoor</v>
      </c>
      <c r="N11" s="13" t="s">
        <v>116</v>
      </c>
      <c r="O11" s="9" t="s">
        <v>167</v>
      </c>
    </row>
    <row r="12" spans="1:22" ht="15.75" customHeight="1" x14ac:dyDescent="0.25">
      <c r="A12" s="5" t="s">
        <v>57</v>
      </c>
      <c r="B12" s="20">
        <v>46230</v>
      </c>
      <c r="C12" s="5" t="s">
        <v>132</v>
      </c>
      <c r="D12" s="5" t="s">
        <v>58</v>
      </c>
      <c r="E12" s="5" t="str">
        <f>PROPER(Table1[[#This Row],[Product Name]])</f>
        <v>Laptop</v>
      </c>
      <c r="F12" s="5" t="s">
        <v>59</v>
      </c>
      <c r="G12" s="5" t="str">
        <f>CONCATENATE(Table1[[#This Row],[Product Name]]," ",Table1[[#This Row],[Brand Name]])</f>
        <v>Laptop HP</v>
      </c>
      <c r="H12" s="5">
        <v>950</v>
      </c>
      <c r="I12" s="15">
        <f>IF(ISBLANK(Table1[[#This Row],[Price ($)]]),AVERAGE(Table1[Price ($)]),Table1[[#This Row],[Price ($)]])</f>
        <v>950</v>
      </c>
      <c r="J12" s="5">
        <v>25</v>
      </c>
      <c r="K12" s="5" t="s">
        <v>27</v>
      </c>
      <c r="L12" s="5" t="str">
        <f t="shared" si="0"/>
        <v>Electronics</v>
      </c>
      <c r="O12" s="9" t="s">
        <v>166</v>
      </c>
    </row>
    <row r="13" spans="1:22" ht="15.75" customHeight="1" x14ac:dyDescent="0.25">
      <c r="A13" s="8" t="s">
        <v>60</v>
      </c>
      <c r="B13" s="21">
        <v>46248</v>
      </c>
      <c r="C13" s="8" t="s">
        <v>133</v>
      </c>
      <c r="D13" s="8" t="s">
        <v>29</v>
      </c>
      <c r="E13" s="8" t="str">
        <f>PROPER(Table1[[#This Row],[Product Name]])</f>
        <v>Sneakers</v>
      </c>
      <c r="F13" s="8" t="s">
        <v>46</v>
      </c>
      <c r="G13" s="8" t="str">
        <f>CONCATENATE(Table1[[#This Row],[Product Name]]," ",Table1[[#This Row],[Brand Name]])</f>
        <v>Sneakers Adidas</v>
      </c>
      <c r="H13" s="8">
        <v>90</v>
      </c>
      <c r="I13" s="17">
        <f>IF(ISBLANK(Table1[[#This Row],[Price ($)]]),AVERAGE(Table1[Price ($)]),Table1[[#This Row],[Price ($)]])</f>
        <v>90</v>
      </c>
      <c r="J13" s="8">
        <v>40</v>
      </c>
      <c r="K13" s="8"/>
      <c r="L13" s="12" t="str">
        <f t="shared" si="0"/>
        <v>UnKnown</v>
      </c>
    </row>
    <row r="14" spans="1:22" ht="15.75" customHeight="1" x14ac:dyDescent="0.25">
      <c r="A14" s="5" t="s">
        <v>61</v>
      </c>
      <c r="B14" s="20">
        <v>46266</v>
      </c>
      <c r="C14" s="5" t="s">
        <v>134</v>
      </c>
      <c r="D14" s="5" t="s">
        <v>33</v>
      </c>
      <c r="E14" s="5" t="str">
        <f>PROPER(Table1[[#This Row],[Product Name]])</f>
        <v>Coffee Maker</v>
      </c>
      <c r="F14" s="5" t="s">
        <v>62</v>
      </c>
      <c r="G14" s="5" t="str">
        <f>CONCATENATE(Table1[[#This Row],[Product Name]]," ",Table1[[#This Row],[Brand Name]])</f>
        <v>Coffee Maker Nespresso</v>
      </c>
      <c r="H14" s="5">
        <v>120</v>
      </c>
      <c r="I14" s="15">
        <f>IF(ISBLANK(Table1[[#This Row],[Price ($)]]),AVERAGE(Table1[Price ($)]),Table1[[#This Row],[Price ($)]])</f>
        <v>120</v>
      </c>
      <c r="J14" s="5">
        <v>35</v>
      </c>
      <c r="K14" s="5"/>
      <c r="L14" s="11" t="str">
        <f t="shared" si="0"/>
        <v>UnKnown</v>
      </c>
      <c r="N14" s="13" t="s">
        <v>161</v>
      </c>
      <c r="O14" s="9" t="s">
        <v>120</v>
      </c>
    </row>
    <row r="15" spans="1:22" ht="15.75" customHeight="1" x14ac:dyDescent="0.25">
      <c r="A15" s="8" t="s">
        <v>63</v>
      </c>
      <c r="B15" s="21">
        <v>46284</v>
      </c>
      <c r="C15" s="8" t="s">
        <v>135</v>
      </c>
      <c r="D15" s="8" t="s">
        <v>64</v>
      </c>
      <c r="E15" s="8" t="str">
        <f>PROPER(Table1[[#This Row],[Product Name]])</f>
        <v>Smartwatch</v>
      </c>
      <c r="F15" s="8" t="s">
        <v>65</v>
      </c>
      <c r="G15" s="8" t="str">
        <f>CONCATENATE(Table1[[#This Row],[Product Name]]," ",Table1[[#This Row],[Brand Name]])</f>
        <v>Smartwatch Fitbit</v>
      </c>
      <c r="H15" s="8">
        <v>150</v>
      </c>
      <c r="I15" s="17">
        <f>IF(ISBLANK(Table1[[#This Row],[Price ($)]]),AVERAGE(Table1[Price ($)]),Table1[[#This Row],[Price ($)]])</f>
        <v>150</v>
      </c>
      <c r="J15" s="8">
        <v>15</v>
      </c>
      <c r="K15" s="8" t="s">
        <v>27</v>
      </c>
      <c r="L15" s="8" t="str">
        <f t="shared" si="0"/>
        <v>Electronics</v>
      </c>
      <c r="O15" s="9" t="s">
        <v>122</v>
      </c>
    </row>
    <row r="16" spans="1:22" ht="15.75" customHeight="1" x14ac:dyDescent="0.25">
      <c r="A16" s="5" t="s">
        <v>66</v>
      </c>
      <c r="B16" s="20">
        <v>46302</v>
      </c>
      <c r="C16" s="5" t="s">
        <v>136</v>
      </c>
      <c r="D16" s="5" t="s">
        <v>164</v>
      </c>
      <c r="E16" s="5" t="str">
        <f>PROPER(Table1[[#This Row],[Product Name]])</f>
        <v>Headphones</v>
      </c>
      <c r="F16" s="5" t="s">
        <v>67</v>
      </c>
      <c r="G16" s="5" t="str">
        <f>CONCATENATE(Table1[[#This Row],[Product Name]]," ",Table1[[#This Row],[Brand Name]])</f>
        <v>headphones Bose</v>
      </c>
      <c r="H16" s="5">
        <v>250</v>
      </c>
      <c r="I16" s="15">
        <f>IF(ISBLANK(Table1[[#This Row],[Price ($)]]),AVERAGE(Table1[Price ($)]),Table1[[#This Row],[Price ($)]])</f>
        <v>250</v>
      </c>
      <c r="J16" s="5">
        <v>20</v>
      </c>
      <c r="K16" s="5" t="s">
        <v>27</v>
      </c>
      <c r="L16" s="5" t="str">
        <f t="shared" si="0"/>
        <v>Electronics</v>
      </c>
    </row>
    <row r="17" spans="1:15" ht="15.75" customHeight="1" x14ac:dyDescent="0.25">
      <c r="A17" s="8" t="s">
        <v>68</v>
      </c>
      <c r="B17" s="21">
        <v>46320</v>
      </c>
      <c r="C17" s="8" t="s">
        <v>135</v>
      </c>
      <c r="D17" s="8" t="s">
        <v>69</v>
      </c>
      <c r="E17" s="8" t="str">
        <f>PROPER(Table1[[#This Row],[Product Name]])</f>
        <v>Laptop Bag</v>
      </c>
      <c r="F17" s="8" t="s">
        <v>70</v>
      </c>
      <c r="G17" s="8" t="str">
        <f>CONCATENATE(Table1[[#This Row],[Product Name]]," ",Table1[[#This Row],[Brand Name]])</f>
        <v>Laptop Bag Samsonite</v>
      </c>
      <c r="H17" s="8">
        <v>50</v>
      </c>
      <c r="I17" s="17">
        <f>IF(ISBLANK(Table1[[#This Row],[Price ($)]]),AVERAGE(Table1[Price ($)]),Table1[[#This Row],[Price ($)]])</f>
        <v>50</v>
      </c>
      <c r="J17" s="8">
        <v>35</v>
      </c>
      <c r="K17" s="8" t="s">
        <v>71</v>
      </c>
      <c r="L17" s="8" t="str">
        <f t="shared" si="0"/>
        <v>Accessories</v>
      </c>
      <c r="N17" s="13" t="s">
        <v>119</v>
      </c>
      <c r="O17" s="9" t="s">
        <v>169</v>
      </c>
    </row>
    <row r="18" spans="1:15" ht="15.75" customHeight="1" x14ac:dyDescent="0.25">
      <c r="A18" s="5" t="s">
        <v>72</v>
      </c>
      <c r="B18" s="20">
        <v>46338</v>
      </c>
      <c r="C18" s="5" t="s">
        <v>137</v>
      </c>
      <c r="D18" s="5" t="s">
        <v>64</v>
      </c>
      <c r="E18" s="5" t="str">
        <f>PROPER(Table1[[#This Row],[Product Name]])</f>
        <v>Smartwatch</v>
      </c>
      <c r="F18" s="5" t="s">
        <v>73</v>
      </c>
      <c r="G18" s="5" t="str">
        <f>CONCATENATE(Table1[[#This Row],[Product Name]]," ",Table1[[#This Row],[Brand Name]])</f>
        <v>Smartwatch Huawei</v>
      </c>
      <c r="H18" s="5">
        <v>160</v>
      </c>
      <c r="I18" s="15">
        <f>IF(ISBLANK(Table1[[#This Row],[Price ($)]]),AVERAGE(Table1[Price ($)]),Table1[[#This Row],[Price ($)]])</f>
        <v>160</v>
      </c>
      <c r="J18" s="5">
        <v>15</v>
      </c>
      <c r="K18" s="5" t="s">
        <v>27</v>
      </c>
      <c r="L18" s="5" t="str">
        <f t="shared" si="0"/>
        <v>Electronics</v>
      </c>
      <c r="O18" s="9" t="s">
        <v>125</v>
      </c>
    </row>
    <row r="19" spans="1:15" ht="15.75" customHeight="1" x14ac:dyDescent="0.25">
      <c r="A19" s="8" t="s">
        <v>74</v>
      </c>
      <c r="B19" s="21">
        <v>46356</v>
      </c>
      <c r="C19" s="8" t="s">
        <v>138</v>
      </c>
      <c r="D19" s="8" t="s">
        <v>162</v>
      </c>
      <c r="E19" s="8" t="str">
        <f>PROPER(Table1[[#This Row],[Product Name]])</f>
        <v>Laptop</v>
      </c>
      <c r="F19" s="8" t="s">
        <v>75</v>
      </c>
      <c r="G19" s="8" t="str">
        <f>CONCATENATE(Table1[[#This Row],[Product Name]]," ",Table1[[#This Row],[Brand Name]])</f>
        <v>laptop Asus</v>
      </c>
      <c r="H19" s="8">
        <v>980</v>
      </c>
      <c r="I19" s="17">
        <f>IF(ISBLANK(Table1[[#This Row],[Price ($)]]),AVERAGE(Table1[Price ($)]),Table1[[#This Row],[Price ($)]])</f>
        <v>980</v>
      </c>
      <c r="J19" s="8">
        <v>10</v>
      </c>
      <c r="K19" s="8" t="s">
        <v>27</v>
      </c>
      <c r="L19" s="8" t="str">
        <f t="shared" si="0"/>
        <v>Electronics</v>
      </c>
      <c r="O19" s="22" t="s">
        <v>168</v>
      </c>
    </row>
    <row r="20" spans="1:15" ht="15.75" customHeight="1" x14ac:dyDescent="0.25">
      <c r="A20" s="5" t="s">
        <v>76</v>
      </c>
      <c r="B20" s="20">
        <v>46374</v>
      </c>
      <c r="C20" s="5" t="s">
        <v>131</v>
      </c>
      <c r="D20" s="5" t="s">
        <v>77</v>
      </c>
      <c r="E20" s="5" t="str">
        <f>PROPER(Table1[[#This Row],[Product Name]])</f>
        <v>Sunglasses</v>
      </c>
      <c r="F20" s="5" t="s">
        <v>78</v>
      </c>
      <c r="G20" s="5" t="str">
        <f>CONCATENATE(Table1[[#This Row],[Product Name]]," ",Table1[[#This Row],[Brand Name]])</f>
        <v>Sunglasses Oakley</v>
      </c>
      <c r="H20" s="5">
        <v>150</v>
      </c>
      <c r="I20" s="15">
        <f>IF(ISBLANK(Table1[[#This Row],[Price ($)]]),AVERAGE(Table1[Price ($)]),Table1[[#This Row],[Price ($)]])</f>
        <v>150</v>
      </c>
      <c r="J20" s="5">
        <v>15</v>
      </c>
      <c r="K20" s="5" t="s">
        <v>31</v>
      </c>
      <c r="L20" s="5" t="str">
        <f t="shared" si="0"/>
        <v>Fashion</v>
      </c>
      <c r="O20" s="14">
        <v>3</v>
      </c>
    </row>
    <row r="21" spans="1:15" ht="15.75" customHeight="1" x14ac:dyDescent="0.25">
      <c r="A21" s="8" t="s">
        <v>79</v>
      </c>
      <c r="B21" s="21">
        <v>46392</v>
      </c>
      <c r="C21" s="8" t="s">
        <v>130</v>
      </c>
      <c r="D21" s="8" t="s">
        <v>80</v>
      </c>
      <c r="E21" s="8" t="str">
        <f>PROPER(Table1[[#This Row],[Product Name]])</f>
        <v>Camping Tent</v>
      </c>
      <c r="F21" s="8" t="s">
        <v>81</v>
      </c>
      <c r="G21" s="8" t="str">
        <f>CONCATENATE(Table1[[#This Row],[Product Name]]," ",Table1[[#This Row],[Brand Name]])</f>
        <v>Camping Tent Coleman</v>
      </c>
      <c r="H21" s="8"/>
      <c r="I21" s="18">
        <f>IF(ISBLANK(Table1[[#This Row],[Price ($)]]),AVERAGE(Table1[Price ($)]),Table1[[#This Row],[Price ($)]])</f>
        <v>297.85714285714283</v>
      </c>
      <c r="J21" s="8">
        <v>10</v>
      </c>
      <c r="K21" s="8" t="s">
        <v>56</v>
      </c>
      <c r="L21" s="8" t="str">
        <f t="shared" si="0"/>
        <v>Outdoor</v>
      </c>
      <c r="N21" s="13" t="s">
        <v>121</v>
      </c>
      <c r="O21" s="9" t="s">
        <v>146</v>
      </c>
    </row>
    <row r="22" spans="1:15" ht="15.75" customHeight="1" x14ac:dyDescent="0.25">
      <c r="A22" s="5" t="s">
        <v>82</v>
      </c>
      <c r="B22" s="20">
        <v>46410</v>
      </c>
      <c r="C22" s="5" t="s">
        <v>139</v>
      </c>
      <c r="D22" s="5" t="s">
        <v>83</v>
      </c>
      <c r="E22" s="5" t="str">
        <f>PROPER(Table1[[#This Row],[Product Name]])</f>
        <v>Camera</v>
      </c>
      <c r="F22" s="5" t="s">
        <v>84</v>
      </c>
      <c r="G22" s="5" t="str">
        <f>CONCATENATE(Table1[[#This Row],[Product Name]]," ",Table1[[#This Row],[Brand Name]])</f>
        <v>Camera Nikon</v>
      </c>
      <c r="H22" s="5">
        <v>700</v>
      </c>
      <c r="I22" s="15">
        <f>IF(ISBLANK(Table1[[#This Row],[Price ($)]]),AVERAGE(Table1[Price ($)]),Table1[[#This Row],[Price ($)]])</f>
        <v>700</v>
      </c>
      <c r="J22" s="5">
        <v>50</v>
      </c>
      <c r="K22" s="5" t="s">
        <v>27</v>
      </c>
      <c r="L22" s="5" t="str">
        <f t="shared" si="0"/>
        <v>Electronics</v>
      </c>
      <c r="O22" s="9" t="s">
        <v>124</v>
      </c>
    </row>
    <row r="23" spans="1:15" ht="15.75" customHeight="1" x14ac:dyDescent="0.25">
      <c r="A23" s="8" t="s">
        <v>85</v>
      </c>
      <c r="B23" s="21">
        <v>46428</v>
      </c>
      <c r="C23" s="8" t="s">
        <v>135</v>
      </c>
      <c r="D23" s="8" t="s">
        <v>86</v>
      </c>
      <c r="E23" s="8" t="str">
        <f>PROPER(Table1[[#This Row],[Product Name]])</f>
        <v>Microwave</v>
      </c>
      <c r="F23" s="8" t="s">
        <v>87</v>
      </c>
      <c r="G23" s="8" t="str">
        <f>CONCATENATE(Table1[[#This Row],[Product Name]]," ",Table1[[#This Row],[Brand Name]])</f>
        <v>Microwave Panasonic</v>
      </c>
      <c r="H23" s="8">
        <v>80</v>
      </c>
      <c r="I23" s="17">
        <f>IF(ISBLANK(Table1[[#This Row],[Price ($)]]),AVERAGE(Table1[Price ($)]),Table1[[#This Row],[Price ($)]])</f>
        <v>80</v>
      </c>
      <c r="J23" s="8">
        <v>20</v>
      </c>
      <c r="K23" s="8" t="s">
        <v>35</v>
      </c>
      <c r="L23" s="8" t="str">
        <f t="shared" si="0"/>
        <v>Kitchen</v>
      </c>
    </row>
    <row r="24" spans="1:15" ht="15.75" customHeight="1" x14ac:dyDescent="0.25">
      <c r="A24" s="5" t="s">
        <v>88</v>
      </c>
      <c r="B24" s="20">
        <v>46446</v>
      </c>
      <c r="C24" s="5" t="s">
        <v>140</v>
      </c>
      <c r="D24" s="5" t="s">
        <v>89</v>
      </c>
      <c r="E24" s="5" t="str">
        <f>PROPER(Table1[[#This Row],[Product Name]])</f>
        <v>Fitness Tracker</v>
      </c>
      <c r="F24" s="5" t="s">
        <v>90</v>
      </c>
      <c r="G24" s="5" t="str">
        <f>CONCATENATE(Table1[[#This Row],[Product Name]]," ",Table1[[#This Row],[Brand Name]])</f>
        <v>Fitness Tracker Xiaomi</v>
      </c>
      <c r="H24" s="5">
        <v>150</v>
      </c>
      <c r="I24" s="15">
        <f>IF(ISBLANK(Table1[[#This Row],[Price ($)]]),AVERAGE(Table1[Price ($)]),Table1[[#This Row],[Price ($)]])</f>
        <v>150</v>
      </c>
      <c r="J24" s="5">
        <v>30</v>
      </c>
      <c r="K24" s="5"/>
      <c r="L24" s="11" t="str">
        <f t="shared" si="0"/>
        <v>UnKnown</v>
      </c>
      <c r="O24" s="14">
        <v>4</v>
      </c>
    </row>
    <row r="25" spans="1:15" ht="15.75" customHeight="1" x14ac:dyDescent="0.25">
      <c r="A25" s="8" t="s">
        <v>91</v>
      </c>
      <c r="B25" s="21">
        <v>46464</v>
      </c>
      <c r="C25" s="8" t="s">
        <v>135</v>
      </c>
      <c r="D25" s="8" t="s">
        <v>64</v>
      </c>
      <c r="E25" s="8" t="str">
        <f>PROPER(Table1[[#This Row],[Product Name]])</f>
        <v>Smartwatch</v>
      </c>
      <c r="F25" s="8" t="s">
        <v>92</v>
      </c>
      <c r="G25" s="8" t="str">
        <f>CONCATENATE(Table1[[#This Row],[Product Name]]," ",Table1[[#This Row],[Brand Name]])</f>
        <v>Smartwatch Google</v>
      </c>
      <c r="H25" s="8">
        <v>800</v>
      </c>
      <c r="I25" s="17">
        <f>IF(ISBLANK(Table1[[#This Row],[Price ($)]]),AVERAGE(Table1[Price ($)]),Table1[[#This Row],[Price ($)]])</f>
        <v>800</v>
      </c>
      <c r="J25" s="8">
        <v>45</v>
      </c>
      <c r="K25" s="8" t="s">
        <v>27</v>
      </c>
      <c r="L25" s="8" t="str">
        <f t="shared" si="0"/>
        <v>Electronics</v>
      </c>
      <c r="N25" s="13" t="s">
        <v>129</v>
      </c>
      <c r="O25" s="9" t="s">
        <v>145</v>
      </c>
    </row>
    <row r="26" spans="1:15" ht="15.75" customHeight="1" x14ac:dyDescent="0.25">
      <c r="A26" s="5" t="s">
        <v>93</v>
      </c>
      <c r="B26" s="20">
        <v>46482</v>
      </c>
      <c r="C26" s="5" t="s">
        <v>135</v>
      </c>
      <c r="D26" s="5" t="s">
        <v>77</v>
      </c>
      <c r="E26" s="5" t="str">
        <f>PROPER(Table1[[#This Row],[Product Name]])</f>
        <v>Sunglasses</v>
      </c>
      <c r="F26" s="5" t="s">
        <v>94</v>
      </c>
      <c r="G26" s="5" t="str">
        <f>CONCATENATE(Table1[[#This Row],[Product Name]]," ",Table1[[#This Row],[Brand Name]])</f>
        <v>Sunglasses Ray-Ban</v>
      </c>
      <c r="H26" s="5"/>
      <c r="I26" s="19">
        <f>IF(ISBLANK(Table1[[#This Row],[Price ($)]]),AVERAGE(Table1[Price ($)]),Table1[[#This Row],[Price ($)]])</f>
        <v>297.85714285714283</v>
      </c>
      <c r="J26" s="5">
        <v>25</v>
      </c>
      <c r="K26" s="5" t="s">
        <v>31</v>
      </c>
      <c r="L26" s="5" t="str">
        <f t="shared" si="0"/>
        <v>Fashion</v>
      </c>
      <c r="O26" s="9" t="s">
        <v>142</v>
      </c>
    </row>
    <row r="27" spans="1:15" ht="15.75" customHeight="1" x14ac:dyDescent="0.25">
      <c r="A27" s="8" t="s">
        <v>95</v>
      </c>
      <c r="B27" s="21">
        <v>46500</v>
      </c>
      <c r="C27" s="8" t="s">
        <v>135</v>
      </c>
      <c r="D27" s="8" t="s">
        <v>48</v>
      </c>
      <c r="E27" s="8" t="str">
        <f>PROPER(Table1[[#This Row],[Product Name]])</f>
        <v>Blender</v>
      </c>
      <c r="F27" s="8" t="s">
        <v>96</v>
      </c>
      <c r="G27" s="8" t="str">
        <f>CONCATENATE(Table1[[#This Row],[Product Name]]," ",Table1[[#This Row],[Brand Name]])</f>
        <v>Blender Vitamix</v>
      </c>
      <c r="H27" s="8">
        <v>400</v>
      </c>
      <c r="I27" s="17">
        <f>IF(ISBLANK(Table1[[#This Row],[Price ($)]]),AVERAGE(Table1[Price ($)]),Table1[[#This Row],[Price ($)]])</f>
        <v>400</v>
      </c>
      <c r="J27" s="8">
        <v>40</v>
      </c>
      <c r="K27" s="8" t="s">
        <v>35</v>
      </c>
      <c r="L27" s="8" t="str">
        <f t="shared" si="0"/>
        <v>Kitchen</v>
      </c>
      <c r="O27" s="9" t="s">
        <v>144</v>
      </c>
    </row>
    <row r="28" spans="1:15" ht="15.75" customHeight="1" x14ac:dyDescent="0.25">
      <c r="A28" s="5" t="s">
        <v>97</v>
      </c>
      <c r="B28" s="20">
        <v>46518</v>
      </c>
      <c r="C28" s="5" t="s">
        <v>135</v>
      </c>
      <c r="D28" s="5" t="s">
        <v>98</v>
      </c>
      <c r="E28" s="5" t="str">
        <f>PROPER(Table1[[#This Row],[Product Name]])</f>
        <v>Dress</v>
      </c>
      <c r="F28" s="5" t="s">
        <v>99</v>
      </c>
      <c r="G28" s="5" t="str">
        <f>CONCATENATE(Table1[[#This Row],[Product Name]]," ",Table1[[#This Row],[Brand Name]])</f>
        <v>Dress Zara</v>
      </c>
      <c r="H28" s="5">
        <v>60</v>
      </c>
      <c r="I28" s="15">
        <f>IF(ISBLANK(Table1[[#This Row],[Price ($)]]),AVERAGE(Table1[Price ($)]),Table1[[#This Row],[Price ($)]])</f>
        <v>60</v>
      </c>
      <c r="J28" s="5">
        <v>30</v>
      </c>
      <c r="K28" s="5" t="s">
        <v>31</v>
      </c>
      <c r="L28" s="5" t="str">
        <f t="shared" si="0"/>
        <v>Fashion</v>
      </c>
      <c r="O28" s="9" t="s">
        <v>143</v>
      </c>
    </row>
    <row r="29" spans="1:15" ht="15.75" customHeight="1" x14ac:dyDescent="0.25">
      <c r="A29" s="8" t="s">
        <v>100</v>
      </c>
      <c r="B29" s="21">
        <v>46536</v>
      </c>
      <c r="C29" s="8" t="s">
        <v>135</v>
      </c>
      <c r="D29" s="8" t="s">
        <v>101</v>
      </c>
      <c r="E29" s="8" t="str">
        <f>PROPER(Table1[[#This Row],[Product Name]])</f>
        <v>Toaster</v>
      </c>
      <c r="F29" s="8" t="s">
        <v>102</v>
      </c>
      <c r="G29" s="8" t="str">
        <f>CONCATENATE(Table1[[#This Row],[Product Name]]," ",Table1[[#This Row],[Brand Name]])</f>
        <v>Toaster Hamilton</v>
      </c>
      <c r="H29" s="8">
        <v>40</v>
      </c>
      <c r="I29" s="17">
        <f>IF(ISBLANK(Table1[[#This Row],[Price ($)]]),AVERAGE(Table1[Price ($)]),Table1[[#This Row],[Price ($)]])</f>
        <v>40</v>
      </c>
      <c r="J29" s="8">
        <v>10</v>
      </c>
      <c r="K29" s="8" t="s">
        <v>35</v>
      </c>
      <c r="L29" s="8" t="str">
        <f t="shared" si="0"/>
        <v>Kitchen</v>
      </c>
    </row>
    <row r="30" spans="1:15" ht="15.75" customHeight="1" x14ac:dyDescent="0.25">
      <c r="A30" s="5" t="s">
        <v>103</v>
      </c>
      <c r="B30" s="20">
        <v>46554</v>
      </c>
      <c r="C30" s="5" t="s">
        <v>135</v>
      </c>
      <c r="D30" s="5" t="s">
        <v>89</v>
      </c>
      <c r="E30" s="5" t="str">
        <f>PROPER(Table1[[#This Row],[Product Name]])</f>
        <v>Fitness Tracker</v>
      </c>
      <c r="F30" s="5" t="s">
        <v>104</v>
      </c>
      <c r="G30" s="5" t="str">
        <f>CONCATENATE(Table1[[#This Row],[Product Name]]," ",Table1[[#This Row],[Brand Name]])</f>
        <v>Fitness Tracker Garmin</v>
      </c>
      <c r="H30" s="5">
        <v>130</v>
      </c>
      <c r="I30" s="15">
        <f>IF(ISBLANK(Table1[[#This Row],[Price ($)]]),AVERAGE(Table1[Price ($)]),Table1[[#This Row],[Price ($)]])</f>
        <v>130</v>
      </c>
      <c r="J30" s="5">
        <v>5</v>
      </c>
      <c r="K30" s="5" t="s">
        <v>27</v>
      </c>
      <c r="L30" s="5" t="str">
        <f t="shared" si="0"/>
        <v>Electronics</v>
      </c>
      <c r="N30" s="13" t="s">
        <v>147</v>
      </c>
      <c r="O30" s="9" t="s">
        <v>149</v>
      </c>
    </row>
    <row r="31" spans="1:15" ht="15.75" customHeight="1" x14ac:dyDescent="0.25">
      <c r="A31" s="8" t="s">
        <v>105</v>
      </c>
      <c r="B31" s="21">
        <v>46572</v>
      </c>
      <c r="C31" s="8" t="s">
        <v>135</v>
      </c>
      <c r="D31" s="8" t="s">
        <v>106</v>
      </c>
      <c r="E31" s="8" t="str">
        <f>PROPER(Table1[[#This Row],[Product Name]])</f>
        <v>Jeans</v>
      </c>
      <c r="F31" s="8" t="s">
        <v>107</v>
      </c>
      <c r="G31" s="8" t="str">
        <f>CONCATENATE(Table1[[#This Row],[Product Name]]," ",Table1[[#This Row],[Brand Name]])</f>
        <v>Jeans Levi's</v>
      </c>
      <c r="H31" s="8">
        <v>50</v>
      </c>
      <c r="I31" s="17">
        <f>IF(ISBLANK(Table1[[#This Row],[Price ($)]]),AVERAGE(Table1[Price ($)]),Table1[[#This Row],[Price ($)]])</f>
        <v>50</v>
      </c>
      <c r="J31" s="8">
        <v>50</v>
      </c>
      <c r="K31" s="8" t="s">
        <v>31</v>
      </c>
      <c r="L31" s="8" t="str">
        <f t="shared" si="0"/>
        <v>Fashion</v>
      </c>
      <c r="O31" s="9" t="s">
        <v>148</v>
      </c>
    </row>
    <row r="32" spans="1:15" ht="15.75" customHeight="1" x14ac:dyDescent="0.25">
      <c r="A32" s="5" t="s">
        <v>108</v>
      </c>
      <c r="B32" s="20">
        <v>46590</v>
      </c>
      <c r="C32" s="5" t="s">
        <v>141</v>
      </c>
      <c r="D32" s="5" t="s">
        <v>109</v>
      </c>
      <c r="E32" s="5" t="str">
        <f>PROPER(Table1[[#This Row],[Product Name]])</f>
        <v>Watch</v>
      </c>
      <c r="F32" s="5" t="s">
        <v>110</v>
      </c>
      <c r="G32" s="5" t="str">
        <f>CONCATENATE(Table1[[#This Row],[Product Name]]," ",Table1[[#This Row],[Brand Name]])</f>
        <v>Watch Casio</v>
      </c>
      <c r="H32" s="5">
        <v>100</v>
      </c>
      <c r="I32" s="15">
        <f>IF(ISBLANK(Table1[[#This Row],[Price ($)]]),AVERAGE(Table1[Price ($)]),Table1[[#This Row],[Price ($)]])</f>
        <v>100</v>
      </c>
      <c r="J32" s="5">
        <v>20</v>
      </c>
      <c r="K32" s="5" t="s">
        <v>71</v>
      </c>
      <c r="L32" s="5" t="str">
        <f t="shared" si="0"/>
        <v>Accessories</v>
      </c>
    </row>
    <row r="33" spans="14:15" ht="15.75" customHeight="1" x14ac:dyDescent="0.25">
      <c r="O33" s="14">
        <v>5</v>
      </c>
    </row>
    <row r="34" spans="14:15" ht="15.75" customHeight="1" x14ac:dyDescent="0.25">
      <c r="N34" s="13" t="s">
        <v>150</v>
      </c>
      <c r="O34" s="9" t="s">
        <v>151</v>
      </c>
    </row>
    <row r="35" spans="14:15" ht="15.75" customHeight="1" x14ac:dyDescent="0.25"/>
    <row r="36" spans="14:15" ht="15.75" customHeight="1" x14ac:dyDescent="0.25">
      <c r="N36" s="13" t="s">
        <v>152</v>
      </c>
      <c r="O36" s="9" t="s">
        <v>154</v>
      </c>
    </row>
    <row r="37" spans="14:15" ht="15.75" customHeight="1" x14ac:dyDescent="0.25">
      <c r="O37" s="9" t="s">
        <v>153</v>
      </c>
    </row>
    <row r="38" spans="14:15" ht="15.75" customHeight="1" x14ac:dyDescent="0.25"/>
    <row r="39" spans="14:15" ht="15.75" customHeight="1" x14ac:dyDescent="0.25">
      <c r="O39" s="14">
        <v>6</v>
      </c>
    </row>
    <row r="40" spans="14:15" ht="15.75" customHeight="1" x14ac:dyDescent="0.25">
      <c r="N40" s="13" t="s">
        <v>155</v>
      </c>
      <c r="O40" s="9" t="s">
        <v>156</v>
      </c>
    </row>
    <row r="41" spans="14:15" ht="15.75" customHeight="1" x14ac:dyDescent="0.25"/>
    <row r="42" spans="14:15" ht="15.75" customHeight="1" x14ac:dyDescent="0.25">
      <c r="N42" s="13" t="s">
        <v>157</v>
      </c>
      <c r="O42" s="9" t="s">
        <v>158</v>
      </c>
    </row>
    <row r="43" spans="14:15" ht="15.75" customHeight="1" x14ac:dyDescent="0.25">
      <c r="O43" s="9" t="s">
        <v>160</v>
      </c>
    </row>
    <row r="44" spans="14:15" ht="15.75" customHeight="1" x14ac:dyDescent="0.25">
      <c r="O44" s="9" t="s">
        <v>159</v>
      </c>
    </row>
    <row r="45" spans="14:15" ht="15.75" customHeight="1" x14ac:dyDescent="0.25"/>
    <row r="46" spans="14:15" ht="15.75" customHeight="1" x14ac:dyDescent="0.25"/>
    <row r="47" spans="14:15" ht="15.75" customHeight="1" x14ac:dyDescent="0.25"/>
    <row r="48" spans="14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I1:I3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{C1236EB9-1408-4F21-B592-F82150F1032B}</x14:id>
        </ext>
      </extLst>
    </cfRule>
  </conditionalFormatting>
  <conditionalFormatting sqref="L1:L32">
    <cfRule type="containsText" dxfId="3" priority="1" operator="containsText" text="Electronics">
      <formula>NOT(ISERROR(SEARCH("Electronics",L1)))</formula>
    </cfRule>
    <cfRule type="containsText" dxfId="2" priority="2" operator="containsText" text="Electronics">
      <formula>NOT(ISERROR(SEARCH("Electronics",L1)))</formula>
    </cfRule>
    <cfRule type="containsText" dxfId="1" priority="3" operator="containsText" text="Electronics">
      <formula>NOT(ISERROR(SEARCH("Electronics",L1)))</formula>
    </cfRule>
    <cfRule type="containsText" dxfId="0" priority="4" operator="containsText" text="Electronics">
      <formula>NOT(ISERROR(SEARCH("Electronics",L1)))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236EB9-1408-4F21-B592-F82150F103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I1:I32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260B1E-CB9F-4526-BBB3-0B4DE3A7F0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akshaya sajeevan</cp:lastModifiedBy>
  <dcterms:modified xsi:type="dcterms:W3CDTF">2026-07-28T09:45:56Z</dcterms:modified>
</cp:coreProperties>
</file>