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a932c87543c4739/Documents/ENTRI/Excel/"/>
    </mc:Choice>
  </mc:AlternateContent>
  <xr:revisionPtr revIDLastSave="79" documentId="13_ncr:1_{0A13BF5A-50F1-461A-9D55-E10B5ED930F8}" xr6:coauthVersionLast="47" xr6:coauthVersionMax="47" xr10:uidLastSave="{8B47F471-CD05-4529-8E6C-17A43ED77529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I4" i="2"/>
  <c r="I5" i="2"/>
  <c r="I6" i="2"/>
  <c r="I7" i="2"/>
  <c r="I8" i="2"/>
  <c r="I9" i="2"/>
  <c r="I10" i="2"/>
  <c r="I11" i="2"/>
  <c r="I12" i="2"/>
  <c r="I1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N14" i="2"/>
  <c r="N13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1" i="2"/>
  <c r="G2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N11" i="2"/>
  <c r="N10" i="2"/>
  <c r="N8" i="2"/>
  <c r="N7" i="2"/>
  <c r="N6" i="2"/>
</calcChain>
</file>

<file path=xl/sharedStrings.xml><?xml version="1.0" encoding="utf-8"?>
<sst xmlns="http://schemas.openxmlformats.org/spreadsheetml/2006/main" count="177" uniqueCount="128">
  <si>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</si>
  <si>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</si>
  <si>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</si>
  <si>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</si>
  <si>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</si>
  <si>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</si>
  <si>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</si>
  <si>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</si>
  <si>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</si>
  <si>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</si>
  <si>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</si>
  <si>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</si>
  <si>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</si>
  <si>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</si>
  <si>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</si>
  <si>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</si>
  <si>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</si>
  <si>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</si>
  <si>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</si>
  <si>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</si>
  <si>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</si>
  <si>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</si>
  <si>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</si>
  <si>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</si>
  <si>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</si>
  <si>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</si>
  <si>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</si>
  <si>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</si>
  <si>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</si>
  <si>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</si>
  <si>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</si>
  <si>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</si>
  <si>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</si>
  <si>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</si>
  <si>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</si>
  <si>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</si>
  <si>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</si>
  <si>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</si>
  <si>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</si>
  <si>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</si>
  <si>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</si>
  <si>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</si>
  <si>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</si>
  <si>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</si>
  <si>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</si>
  <si>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</si>
  <si>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</si>
  <si>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</si>
  <si>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</si>
  <si>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</si>
  <si>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</si>
  <si>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</si>
  <si>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</si>
  <si>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</si>
  <si>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</si>
  <si>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</si>
  <si>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</si>
  <si>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</si>
  <si>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</si>
  <si>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</si>
  <si>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</si>
  <si>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</si>
  <si>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</si>
  <si>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</si>
  <si>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</si>
  <si>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</si>
  <si>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</si>
  <si>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</si>
  <si>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</si>
  <si>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</si>
  <si>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</si>
  <si>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</si>
  <si>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</si>
  <si>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</si>
  <si>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</si>
  <si>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</si>
  <si>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</si>
  <si>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</si>
  <si>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</si>
  <si>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</si>
  <si>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</si>
  <si>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</si>
  <si>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</si>
  <si>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</si>
  <si>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</si>
  <si>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</si>
  <si>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</si>
  <si>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</si>
  <si>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</si>
  <si>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</si>
  <si>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</si>
  <si>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</si>
  <si>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</si>
  <si>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</si>
  <si>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</si>
  <si>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</si>
  <si>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</si>
  <si>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</si>
  <si>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</si>
  <si>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</si>
  <si>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</si>
  <si>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</si>
  <si>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</si>
  <si>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</si>
  <si>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</si>
  <si>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</si>
  <si>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</si>
  <si>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</si>
  <si>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</si>
  <si>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</si>
  <si>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</si>
  <si>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</si>
  <si>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</si>
  <si>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 xml:space="preserve">MINIMUM </t>
  </si>
  <si>
    <t>MAXIMUM</t>
  </si>
  <si>
    <t>Price Range</t>
  </si>
  <si>
    <t>SUMIF</t>
  </si>
  <si>
    <t>COUNTIF</t>
  </si>
  <si>
    <t>Day</t>
  </si>
  <si>
    <t>Country Code</t>
  </si>
  <si>
    <t>Month</t>
  </si>
  <si>
    <t>Total Price of Electronics</t>
  </si>
  <si>
    <t>Count of Products with a Price Less than 100</t>
  </si>
  <si>
    <t>count of products</t>
  </si>
  <si>
    <t xml:space="preserve">Average Price </t>
  </si>
  <si>
    <t>Total Price</t>
  </si>
  <si>
    <t>Minimum Price</t>
  </si>
  <si>
    <t>Maximum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</si>
</sst>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7" fillId="4" borderId="0" xfId="0" applyFont="1" applyFill="1"/>
    <xf numFmtId="0" fontId="0" fillId="5" borderId="0" xfId="0" applyFill="1"/>
    <xf numFmtId="0" fontId="7" fillId="6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FF5B"/>
      <color rgb="FFFFFF25"/>
      <color rgb="FFFFF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16" sqref="D1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="77" workbookViewId="0">
      <selection activeCell="L24" sqref="L2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4" max="4" width="12" customWidth="1"/>
    <col min="5" max="5" width="11.77734375" customWidth="1"/>
    <col min="7" max="7" width="16.5546875" customWidth="1"/>
    <col min="8" max="8" width="10.21875" customWidth="1"/>
    <col min="9" max="9" width="13.88671875" customWidth="1"/>
    <col min="10" max="11" width="11.21875" customWidth="1"/>
    <col min="12" max="12" width="11.5546875" customWidth="1"/>
    <col min="13" max="13" width="13.6640625" customWidth="1"/>
    <col min="14" max="14" width="16.44140625" customWidth="1"/>
    <col min="15" max="15" width="39.77734375" bestFit="1" customWidth="1"/>
  </cols>
  <sheetData>
    <row r="1" spans="1:15" ht="16.8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5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 t="shared" ref="G2:G35" si="0">IF(D2&gt;=500,"High Price","Standard Price")</f>
        <v>High Price</v>
      </c>
      <c r="H2" s="6" t="str">
        <f t="shared" ref="H2:H35" si="1">LEFT(A2,2)</f>
        <v>28</v>
      </c>
      <c r="I2" s="6" t="str">
        <f t="shared" ref="I2:I35" si="2">RIGHT(A2,2)</f>
        <v>US</v>
      </c>
      <c r="J2" s="6" t="str">
        <f t="shared" ref="J2:J35" si="3">MID(A2,4,3)</f>
        <v>JAN</v>
      </c>
    </row>
    <row r="3" spans="1:15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si="0"/>
        <v>Standard Price</v>
      </c>
      <c r="H3" s="7" t="str">
        <f t="shared" si="1"/>
        <v>15</v>
      </c>
      <c r="I3" s="7" t="str">
        <f t="shared" si="2"/>
        <v>US</v>
      </c>
      <c r="J3" s="7" t="str">
        <f t="shared" si="3"/>
        <v>FEB</v>
      </c>
    </row>
    <row r="4" spans="1:15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</row>
    <row r="5" spans="1:15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M5" s="8"/>
      <c r="N5" s="8"/>
      <c r="O5" s="8"/>
    </row>
    <row r="6" spans="1:15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L6" s="10">
        <v>1</v>
      </c>
      <c r="M6" s="11" t="s">
        <v>110</v>
      </c>
      <c r="N6" s="12">
        <f>SUM(D2:D35)</f>
        <v>10100</v>
      </c>
      <c r="O6" s="9" t="s">
        <v>125</v>
      </c>
    </row>
    <row r="7" spans="1:15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M7" s="11" t="s">
        <v>111</v>
      </c>
      <c r="N7" s="12">
        <f>COUNTA(B2:B35)</f>
        <v>34</v>
      </c>
      <c r="O7" s="9" t="s">
        <v>123</v>
      </c>
    </row>
    <row r="8" spans="1:15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M8" s="11" t="s">
        <v>112</v>
      </c>
      <c r="N8" s="12">
        <f>AVERAGE(D2:D35)</f>
        <v>297.05882352941177</v>
      </c>
      <c r="O8" s="9" t="s">
        <v>124</v>
      </c>
    </row>
    <row r="9" spans="1:15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N9" s="8"/>
      <c r="O9" s="8"/>
    </row>
    <row r="10" spans="1:15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  <c r="L10" s="10">
        <v>2</v>
      </c>
      <c r="M10" s="11" t="s">
        <v>113</v>
      </c>
      <c r="N10" s="12">
        <f>MIN(D2:D35)</f>
        <v>30</v>
      </c>
      <c r="O10" s="9" t="s">
        <v>126</v>
      </c>
    </row>
    <row r="11" spans="1:15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M11" s="11" t="s">
        <v>114</v>
      </c>
      <c r="N11" s="12">
        <f>MAX(D2:D35)</f>
        <v>1000</v>
      </c>
      <c r="O11" s="9" t="s">
        <v>127</v>
      </c>
    </row>
    <row r="12" spans="1:15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  <c r="N12" s="12"/>
    </row>
    <row r="13" spans="1:15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L13" s="10">
        <v>4</v>
      </c>
      <c r="M13" s="11" t="s">
        <v>116</v>
      </c>
      <c r="N13" s="12">
        <f>SUMIF(F2:F35,"Electronics",D2:D35)</f>
        <v>8050</v>
      </c>
      <c r="O13" s="9" t="s">
        <v>121</v>
      </c>
    </row>
    <row r="14" spans="1:15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  <c r="M14" s="11" t="s">
        <v>117</v>
      </c>
      <c r="N14" s="12">
        <f>COUNTIF(D2:D35,"&lt;100")</f>
        <v>11</v>
      </c>
      <c r="O14" s="9" t="s">
        <v>122</v>
      </c>
    </row>
    <row r="15" spans="1:15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5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</row>
    <row r="17" spans="1:15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  <c r="L17" s="8"/>
      <c r="M17" s="8"/>
      <c r="N17" s="8"/>
      <c r="O17" s="8"/>
    </row>
    <row r="18" spans="1:15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  <c r="L18" s="8"/>
      <c r="M18" s="8"/>
      <c r="N18" s="8"/>
      <c r="O18" s="8"/>
    </row>
    <row r="19" spans="1:15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  <c r="L19" s="8"/>
      <c r="M19" s="8"/>
      <c r="N19" s="8"/>
      <c r="O19" s="8"/>
    </row>
    <row r="20" spans="1:15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</row>
    <row r="21" spans="1:15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5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</row>
    <row r="23" spans="1:15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5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</row>
    <row r="25" spans="1:15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5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</row>
    <row r="27" spans="1:15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5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</row>
    <row r="29" spans="1:15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5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</row>
    <row r="31" spans="1:15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5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5">
      <c r="G36" s="6"/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 sajeevan</cp:lastModifiedBy>
  <dcterms:modified xsi:type="dcterms:W3CDTF">2026-07-28T09:43:56Z</dcterms:modified>
</cp:coreProperties>
</file>